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39F28C50-5FA7-4C2D-9B48-FBDAAF9F33A1}" xr6:coauthVersionLast="47" xr6:coauthVersionMax="47" xr10:uidLastSave="{00000000-0000-0000-0000-000000000000}"/>
  <bookViews>
    <workbookView xWindow="-12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2" i="1"/>
  <c r="D54" i="1"/>
  <c r="D55" i="1"/>
  <c r="D53" i="1"/>
  <c r="D52" i="1"/>
  <c r="D51" i="1"/>
  <c r="D50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</calcChain>
</file>

<file path=xl/sharedStrings.xml><?xml version="1.0" encoding="utf-8"?>
<sst xmlns="http://schemas.openxmlformats.org/spreadsheetml/2006/main" count="122" uniqueCount="70">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</sst>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8" Type="http://schemas.openxmlformats.org/officeDocument/2006/relationships/hyperlink" Target="https://drive.google.com/drive/folders/1L_j3QOMWdOma9Tw950n4uuewFmGIL_Kk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D55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4" width="9.140625" style="1" hidden="1"/>
  </cols>
  <sheetData>
    <row r="1" spans="1:4" x14ac:dyDescent="0.25">
      <c r="A1" s="4" t="s">
        <v>0</v>
      </c>
      <c r="B1" s="4" t="s">
        <v>1</v>
      </c>
      <c r="C1" s="4" t="s">
        <v>2</v>
      </c>
      <c r="D1" s="5" t="s">
        <v>4</v>
      </c>
    </row>
    <row r="2" spans="1:4" x14ac:dyDescent="0.25">
      <c r="A2" s="6" t="s">
        <v>13</v>
      </c>
      <c r="B2" s="1" t="s">
        <v>3</v>
      </c>
      <c r="C2" s="2">
        <v>46001</v>
      </c>
      <c r="D2" s="1" t="str">
        <f>A2</f>
        <v>WNS PennyMac Performance Trend</v>
      </c>
    </row>
    <row r="3" spans="1:4" x14ac:dyDescent="0.25">
      <c r="A3" s="6" t="s">
        <v>5</v>
      </c>
      <c r="B3" s="1" t="s">
        <v>3</v>
      </c>
      <c r="C3" s="2">
        <v>46001</v>
      </c>
      <c r="D3" s="1" t="str">
        <f t="shared" ref="D3:D29" si="0">A3</f>
        <v>Performance Dashboard</v>
      </c>
    </row>
    <row r="4" spans="1:4" x14ac:dyDescent="0.25">
      <c r="A4" s="6" t="s">
        <v>6</v>
      </c>
      <c r="B4" s="1" t="s">
        <v>3</v>
      </c>
      <c r="C4" s="2">
        <v>46001</v>
      </c>
      <c r="D4" s="1" t="str">
        <f t="shared" si="0"/>
        <v>Productivity Dashboard</v>
      </c>
    </row>
    <row r="5" spans="1:4" x14ac:dyDescent="0.25">
      <c r="A5" s="6" t="s">
        <v>7</v>
      </c>
      <c r="B5" s="1" t="s">
        <v>53</v>
      </c>
      <c r="C5" s="2">
        <v>46000</v>
      </c>
      <c r="D5" s="1" t="str">
        <f t="shared" si="0"/>
        <v>WNS PennyMac MTD Adherence Report</v>
      </c>
    </row>
    <row r="6" spans="1:4" x14ac:dyDescent="0.25">
      <c r="A6" s="6" t="s">
        <v>8</v>
      </c>
      <c r="B6" s="1" t="s">
        <v>54</v>
      </c>
      <c r="C6" s="2">
        <v>45999</v>
      </c>
      <c r="D6" s="1" t="str">
        <f t="shared" si="0"/>
        <v>PennySaved Dashboard</v>
      </c>
    </row>
    <row r="7" spans="1:4" x14ac:dyDescent="0.25">
      <c r="A7" s="6" t="s">
        <v>14</v>
      </c>
      <c r="B7" s="1" t="s">
        <v>3</v>
      </c>
      <c r="C7" s="2">
        <v>45999</v>
      </c>
      <c r="D7" s="1" t="str">
        <f t="shared" si="0"/>
        <v>WNS PennyMac Servicing Performance Outliers Report</v>
      </c>
    </row>
    <row r="8" spans="1:4" x14ac:dyDescent="0.25">
      <c r="A8" s="6" t="s">
        <v>9</v>
      </c>
      <c r="B8" s="1" t="s">
        <v>54</v>
      </c>
      <c r="C8" s="2">
        <v>45994</v>
      </c>
      <c r="D8" s="1" t="str">
        <f t="shared" si="0"/>
        <v>WNS Pennymac Supervisor Call Tracker</v>
      </c>
    </row>
    <row r="9" spans="1:4" x14ac:dyDescent="0.25">
      <c r="A9" s="6" t="s">
        <v>10</v>
      </c>
      <c r="B9" s="1" t="s">
        <v>3</v>
      </c>
      <c r="C9" s="2">
        <v>45992</v>
      </c>
      <c r="D9" s="1" t="str">
        <f t="shared" si="0"/>
        <v>PennyMac's Performance Review Report</v>
      </c>
    </row>
    <row r="10" spans="1:4" x14ac:dyDescent="0.25">
      <c r="A10" s="6" t="s">
        <v>11</v>
      </c>
      <c r="B10" s="1" t="s">
        <v>55</v>
      </c>
      <c r="C10" s="2">
        <v>46000</v>
      </c>
      <c r="D10" s="1" t="str">
        <f t="shared" si="0"/>
        <v>WNS PennyMac Excessive Extended Wrap Report</v>
      </c>
    </row>
    <row r="11" spans="1:4" x14ac:dyDescent="0.25">
      <c r="A11" s="6" t="s">
        <v>12</v>
      </c>
      <c r="B11" s="1" t="s">
        <v>56</v>
      </c>
      <c r="C11" s="2">
        <v>46001</v>
      </c>
      <c r="D11" s="1" t="str">
        <f t="shared" si="0"/>
        <v>WNS PennyMac Servicing AHT Trend</v>
      </c>
    </row>
    <row r="12" spans="1:4" x14ac:dyDescent="0.25">
      <c r="A12" s="6" t="s">
        <v>15</v>
      </c>
      <c r="B12" s="1" t="s">
        <v>57</v>
      </c>
      <c r="C12" s="2">
        <v>46001</v>
      </c>
      <c r="D12" s="1" t="str">
        <f t="shared" si="0"/>
        <v>WNS Pennymac Attendance Report</v>
      </c>
    </row>
    <row r="13" spans="1:4" x14ac:dyDescent="0.25">
      <c r="A13" s="6" t="s">
        <v>16</v>
      </c>
      <c r="B13" s="1" t="s">
        <v>58</v>
      </c>
      <c r="C13" s="2"/>
      <c r="D13" s="1" t="str">
        <f t="shared" si="0"/>
        <v>WNS PennyMac Servicing VL Tracker</v>
      </c>
    </row>
    <row r="14" spans="1:4" x14ac:dyDescent="0.25">
      <c r="A14" s="6" t="s">
        <v>17</v>
      </c>
      <c r="B14" s="1" t="s">
        <v>58</v>
      </c>
      <c r="C14" s="2"/>
      <c r="D14" s="1" t="str">
        <f t="shared" si="0"/>
        <v>WNS PennyMac LOA/Absconding Tracker</v>
      </c>
    </row>
    <row r="15" spans="1:4" x14ac:dyDescent="0.25">
      <c r="A15" s="6" t="s">
        <v>18</v>
      </c>
      <c r="B15" s="1" t="s">
        <v>54</v>
      </c>
      <c r="C15" s="2" t="s">
        <v>61</v>
      </c>
      <c r="D15" s="1" t="str">
        <f t="shared" si="0"/>
        <v>WNS PennyMac OT/RDOT Tracker</v>
      </c>
    </row>
    <row r="16" spans="1:4" x14ac:dyDescent="0.25">
      <c r="A16" s="6" t="s">
        <v>19</v>
      </c>
      <c r="B16" s="1" t="s">
        <v>3</v>
      </c>
      <c r="C16" s="2" t="s">
        <v>61</v>
      </c>
      <c r="D16" s="1" t="str">
        <f t="shared" si="0"/>
        <v>WNS PennyMac Attendance &amp; PennySaved Kicker</v>
      </c>
    </row>
    <row r="17" spans="1:4" x14ac:dyDescent="0.25">
      <c r="A17" s="6" t="s">
        <v>20</v>
      </c>
      <c r="B17" s="1" t="s">
        <v>59</v>
      </c>
      <c r="C17" s="2" t="s">
        <v>61</v>
      </c>
      <c r="D17" s="1" t="str">
        <f t="shared" si="0"/>
        <v>WNS PennyMac Tech Tardy vs Regular Tardy Report</v>
      </c>
    </row>
    <row r="18" spans="1:4" x14ac:dyDescent="0.25">
      <c r="A18" s="6" t="s">
        <v>21</v>
      </c>
      <c r="B18" s="1" t="s">
        <v>60</v>
      </c>
      <c r="C18" s="2">
        <v>46001</v>
      </c>
      <c r="D18" s="1" t="str">
        <f t="shared" si="0"/>
        <v>WNS PennyMac Consolidated System Issue Report -</v>
      </c>
    </row>
    <row r="19" spans="1:4" x14ac:dyDescent="0.25">
      <c r="A19" s="6" t="s">
        <v>22</v>
      </c>
      <c r="B19" s="1" t="s">
        <v>59</v>
      </c>
      <c r="C19" s="2" t="s">
        <v>61</v>
      </c>
      <c r="D19" s="1" t="str">
        <f t="shared" si="0"/>
        <v>WNS PennyMac Servicing Multiple Log-out Instance Report</v>
      </c>
    </row>
    <row r="20" spans="1:4" x14ac:dyDescent="0.25">
      <c r="A20" s="6" t="s">
        <v>23</v>
      </c>
      <c r="B20" s="1" t="s">
        <v>59</v>
      </c>
      <c r="C20" s="2" t="s">
        <v>61</v>
      </c>
      <c r="D20" s="1" t="str">
        <f t="shared" si="0"/>
        <v>WNS PennyMac Proper Log Off EOD Report</v>
      </c>
    </row>
    <row r="21" spans="1:4" x14ac:dyDescent="0.25">
      <c r="A21" s="6" t="s">
        <v>24</v>
      </c>
      <c r="B21" s="1" t="s">
        <v>61</v>
      </c>
      <c r="C21" s="2" t="s">
        <v>61</v>
      </c>
      <c r="D21" s="1" t="str">
        <f t="shared" si="0"/>
        <v>WNS PennyMac JIRA TAR Form</v>
      </c>
    </row>
    <row r="22" spans="1:4" x14ac:dyDescent="0.25">
      <c r="A22" s="3" t="s">
        <v>25</v>
      </c>
      <c r="B22" s="1" t="s">
        <v>61</v>
      </c>
      <c r="C22" s="2" t="s">
        <v>61</v>
      </c>
      <c r="D22" s="1" t="str">
        <f t="shared" si="0"/>
        <v>WNS PennyMac OJT - Pull Out Request</v>
      </c>
    </row>
    <row r="23" spans="1:4" x14ac:dyDescent="0.25">
      <c r="A23" s="3" t="s">
        <v>26</v>
      </c>
      <c r="B23" s="1" t="s">
        <v>61</v>
      </c>
      <c r="C23" s="2" t="s">
        <v>61</v>
      </c>
      <c r="D23" s="1" t="str">
        <f t="shared" si="0"/>
        <v>WNS PennyMac Clinic log-out Form</v>
      </c>
    </row>
    <row r="24" spans="1:4" x14ac:dyDescent="0.25">
      <c r="A24" s="3" t="s">
        <v>27</v>
      </c>
      <c r="B24" s="1" t="s">
        <v>61</v>
      </c>
      <c r="C24" s="2" t="s">
        <v>61</v>
      </c>
      <c r="D24" s="1" t="str">
        <f t="shared" si="0"/>
        <v>WNS Plotted Activity Tracker</v>
      </c>
    </row>
    <row r="25" spans="1:4" x14ac:dyDescent="0.25">
      <c r="A25" s="3" t="s">
        <v>28</v>
      </c>
      <c r="B25" s="1" t="s">
        <v>61</v>
      </c>
      <c r="C25" s="2" t="s">
        <v>61</v>
      </c>
      <c r="D25" s="1" t="str">
        <f t="shared" si="0"/>
        <v>WNS PennyMac DNS AM Schedule Tracker</v>
      </c>
    </row>
    <row r="26" spans="1:4" x14ac:dyDescent="0.25">
      <c r="A26" s="6" t="s">
        <v>29</v>
      </c>
      <c r="B26" s="1" t="s">
        <v>3</v>
      </c>
      <c r="C26" s="2">
        <v>46001</v>
      </c>
      <c r="D26" s="1" t="str">
        <f t="shared" si="0"/>
        <v>WNS PennyMac Servicing Scorecard</v>
      </c>
    </row>
    <row r="27" spans="1:4" x14ac:dyDescent="0.25">
      <c r="A27" s="6" t="s">
        <v>30</v>
      </c>
      <c r="B27" s="1" t="s">
        <v>61</v>
      </c>
      <c r="C27" s="2" t="s">
        <v>61</v>
      </c>
      <c r="D27" s="1" t="str">
        <f t="shared" si="0"/>
        <v>WNS PennyMac Coaching Logs</v>
      </c>
    </row>
    <row r="28" spans="1:4" x14ac:dyDescent="0.25">
      <c r="A28" s="6" t="s">
        <v>31</v>
      </c>
      <c r="B28" s="1" t="s">
        <v>54</v>
      </c>
      <c r="C28" s="2">
        <v>45999</v>
      </c>
      <c r="D28" s="1" t="str">
        <f t="shared" si="0"/>
        <v>WNS PennyMac RDOT Incentive</v>
      </c>
    </row>
    <row r="29" spans="1:4" x14ac:dyDescent="0.25">
      <c r="A29" s="6" t="s">
        <v>32</v>
      </c>
      <c r="B29" s="1" t="s">
        <v>3</v>
      </c>
      <c r="C29" s="2" t="s">
        <v>61</v>
      </c>
      <c r="D29" s="1" t="str">
        <f t="shared" si="0"/>
        <v>WNS PennyMac SM DNP &amp; Productivity Incentive</v>
      </c>
    </row>
    <row r="30" spans="1:4" x14ac:dyDescent="0.25">
      <c r="A30" s="6" t="s">
        <v>33</v>
      </c>
      <c r="B30" s="1" t="s">
        <v>56</v>
      </c>
      <c r="C30" s="2">
        <v>46001</v>
      </c>
      <c r="D30" s="1" t="str">
        <f t="shared" ref="D3:D55" si="1">IF(OR(C30="-",C30=""),"",$C$1&amp;" "&amp;TEXT(C30,"mm/dd/yyyy"))</f>
        <v>Updated as of 12/10/2025</v>
      </c>
    </row>
    <row r="31" spans="1:4" x14ac:dyDescent="0.25">
      <c r="A31" s="6" t="s">
        <v>34</v>
      </c>
      <c r="B31" s="1" t="s">
        <v>62</v>
      </c>
      <c r="C31" s="2">
        <v>46001</v>
      </c>
      <c r="D31" s="1" t="str">
        <f t="shared" si="1"/>
        <v>Updated as of 12/10/2025</v>
      </c>
    </row>
    <row r="32" spans="1:4" x14ac:dyDescent="0.25">
      <c r="A32" s="3" t="s">
        <v>35</v>
      </c>
      <c r="B32" s="1" t="s">
        <v>61</v>
      </c>
      <c r="C32" s="2" t="s">
        <v>61</v>
      </c>
      <c r="D32" s="1" t="str">
        <f t="shared" si="1"/>
        <v/>
      </c>
    </row>
    <row r="33" spans="1:4" x14ac:dyDescent="0.25">
      <c r="A33" s="3" t="s">
        <v>36</v>
      </c>
      <c r="B33" s="1" t="s">
        <v>61</v>
      </c>
      <c r="C33" s="2" t="s">
        <v>61</v>
      </c>
      <c r="D33" s="1" t="str">
        <f t="shared" si="1"/>
        <v/>
      </c>
    </row>
    <row r="34" spans="1:4" x14ac:dyDescent="0.25">
      <c r="A34" s="3" t="s">
        <v>37</v>
      </c>
      <c r="B34" s="1" t="s">
        <v>61</v>
      </c>
      <c r="C34" s="2" t="s">
        <v>61</v>
      </c>
      <c r="D34" s="1" t="str">
        <f t="shared" si="1"/>
        <v/>
      </c>
    </row>
    <row r="35" spans="1:4" x14ac:dyDescent="0.25">
      <c r="A35" s="3" t="s">
        <v>38</v>
      </c>
      <c r="B35" s="1" t="s">
        <v>61</v>
      </c>
      <c r="C35" s="2" t="s">
        <v>61</v>
      </c>
      <c r="D35" s="1" t="str">
        <f t="shared" si="1"/>
        <v/>
      </c>
    </row>
    <row r="36" spans="1:4" x14ac:dyDescent="0.25">
      <c r="A36" s="6" t="s">
        <v>39</v>
      </c>
      <c r="B36" s="1" t="s">
        <v>58</v>
      </c>
      <c r="C36" s="2">
        <v>45982</v>
      </c>
      <c r="D36" s="1" t="str">
        <f t="shared" si="1"/>
        <v>Updated as of 11/21/2025</v>
      </c>
    </row>
    <row r="37" spans="1:4" x14ac:dyDescent="0.25">
      <c r="A37" s="7" t="s">
        <v>52</v>
      </c>
      <c r="B37" s="1" t="s">
        <v>63</v>
      </c>
      <c r="C37" s="2">
        <v>45986</v>
      </c>
      <c r="D37" s="1" t="str">
        <f t="shared" si="1"/>
        <v>Updated as of 11/25/2025</v>
      </c>
    </row>
    <row r="38" spans="1:4" x14ac:dyDescent="0.25">
      <c r="A38" s="7" t="s">
        <v>40</v>
      </c>
      <c r="B38" s="1" t="s">
        <v>63</v>
      </c>
      <c r="C38" s="2">
        <v>45986</v>
      </c>
      <c r="D38" s="1" t="str">
        <f t="shared" si="1"/>
        <v>Updated as of 11/25/2025</v>
      </c>
    </row>
    <row r="39" spans="1:4" x14ac:dyDescent="0.25">
      <c r="A39" s="7" t="s">
        <v>41</v>
      </c>
      <c r="B39" s="1" t="s">
        <v>63</v>
      </c>
      <c r="C39" s="2">
        <v>45980</v>
      </c>
      <c r="D39" s="1" t="str">
        <f t="shared" si="1"/>
        <v>Updated as of 11/19/2025</v>
      </c>
    </row>
    <row r="40" spans="1:4" x14ac:dyDescent="0.25">
      <c r="A40" s="7" t="s">
        <v>42</v>
      </c>
      <c r="B40" s="1" t="s">
        <v>63</v>
      </c>
      <c r="C40" s="2">
        <v>45987</v>
      </c>
      <c r="D40" s="1" t="str">
        <f t="shared" si="1"/>
        <v>Updated as of 11/26/2025</v>
      </c>
    </row>
    <row r="41" spans="1:4" x14ac:dyDescent="0.25">
      <c r="A41" s="7" t="s">
        <v>43</v>
      </c>
      <c r="B41" s="1" t="s">
        <v>63</v>
      </c>
      <c r="C41" s="2">
        <v>45986</v>
      </c>
      <c r="D41" s="1" t="str">
        <f t="shared" si="1"/>
        <v>Updated as of 11/25/2025</v>
      </c>
    </row>
    <row r="42" spans="1:4" x14ac:dyDescent="0.25">
      <c r="A42" s="7" t="s">
        <v>44</v>
      </c>
      <c r="B42" s="1" t="s">
        <v>63</v>
      </c>
      <c r="C42" s="2" t="s">
        <v>61</v>
      </c>
      <c r="D42" s="1" t="str">
        <f t="shared" si="1"/>
        <v/>
      </c>
    </row>
    <row r="43" spans="1:4" x14ac:dyDescent="0.25">
      <c r="A43" s="7" t="s">
        <v>45</v>
      </c>
      <c r="C43" s="2" t="s">
        <v>61</v>
      </c>
      <c r="D43" s="1" t="str">
        <f t="shared" si="1"/>
        <v/>
      </c>
    </row>
    <row r="44" spans="1:4" x14ac:dyDescent="0.25">
      <c r="A44" s="7" t="s">
        <v>46</v>
      </c>
      <c r="C44" s="2" t="s">
        <v>61</v>
      </c>
      <c r="D44" s="1" t="str">
        <f t="shared" si="1"/>
        <v/>
      </c>
    </row>
    <row r="45" spans="1:4" x14ac:dyDescent="0.25">
      <c r="A45" s="7" t="s">
        <v>47</v>
      </c>
      <c r="C45" s="2"/>
      <c r="D45" s="1" t="str">
        <f t="shared" si="1"/>
        <v/>
      </c>
    </row>
    <row r="46" spans="1:4" x14ac:dyDescent="0.25">
      <c r="A46" s="7" t="s">
        <v>48</v>
      </c>
      <c r="C46" s="2">
        <v>45990</v>
      </c>
      <c r="D46" s="1" t="str">
        <f t="shared" si="1"/>
        <v>Updated as of 11/29/2025</v>
      </c>
    </row>
    <row r="47" spans="1:4" x14ac:dyDescent="0.25">
      <c r="A47" s="7" t="s">
        <v>49</v>
      </c>
      <c r="B47" s="1" t="s">
        <v>63</v>
      </c>
      <c r="C47" s="2">
        <v>45980</v>
      </c>
      <c r="D47" s="1" t="str">
        <f t="shared" si="1"/>
        <v>Updated as of 11/19/2025</v>
      </c>
    </row>
    <row r="48" spans="1:4" x14ac:dyDescent="0.25">
      <c r="A48" s="7" t="s">
        <v>50</v>
      </c>
      <c r="C48" s="2" t="s">
        <v>61</v>
      </c>
      <c r="D48" s="1" t="str">
        <f t="shared" si="1"/>
        <v/>
      </c>
    </row>
    <row r="49" spans="1:4" x14ac:dyDescent="0.25">
      <c r="A49" s="7" t="s">
        <v>51</v>
      </c>
      <c r="B49" s="1" t="s">
        <v>64</v>
      </c>
      <c r="C49" s="2">
        <v>46000</v>
      </c>
      <c r="D49" s="1" t="str">
        <f t="shared" si="1"/>
        <v>Updated as of 12/09/2025</v>
      </c>
    </row>
    <row r="50" spans="1:4" x14ac:dyDescent="0.25">
      <c r="A50" s="6" t="s">
        <v>65</v>
      </c>
      <c r="B50" s="1" t="s">
        <v>66</v>
      </c>
      <c r="C50" s="2">
        <v>46000</v>
      </c>
      <c r="D50" s="1" t="str">
        <f t="shared" si="1"/>
        <v>Updated as of 12/09/2025</v>
      </c>
    </row>
    <row r="51" spans="1:4" x14ac:dyDescent="0.25">
      <c r="A51" s="6" t="s">
        <v>67</v>
      </c>
      <c r="B51" s="1" t="s">
        <v>59</v>
      </c>
      <c r="C51" s="2">
        <v>46000</v>
      </c>
      <c r="D51" s="1" t="str">
        <f t="shared" si="1"/>
        <v>Updated as of 12/09/2025</v>
      </c>
    </row>
    <row r="52" spans="1:4" x14ac:dyDescent="0.25">
      <c r="A52" s="6" t="s">
        <v>68</v>
      </c>
      <c r="B52" s="1" t="s">
        <v>3</v>
      </c>
      <c r="C52" s="2">
        <v>46000</v>
      </c>
      <c r="D52" s="1" t="str">
        <f t="shared" si="1"/>
        <v>Updated as of 12/09/2025</v>
      </c>
    </row>
    <row r="53" spans="1:4" x14ac:dyDescent="0.25">
      <c r="A53" s="6" t="s">
        <v>69</v>
      </c>
      <c r="C53" s="2"/>
      <c r="D53" s="1" t="str">
        <f t="shared" si="1"/>
        <v/>
      </c>
    </row>
    <row r="54" spans="1:4" x14ac:dyDescent="0.25">
      <c r="C54" s="2"/>
      <c r="D54" s="1" t="str">
        <f t="shared" si="1"/>
        <v/>
      </c>
    </row>
    <row r="55" spans="1:4" x14ac:dyDescent="0.25">
      <c r="D55" s="1" t="str">
        <f t="shared" si="1"/>
        <v/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</hyperlinks>
  <pageMargins left="0.7" right="0.7" top="0.75" bottom="0.75" header="0.3" footer="0.3"/>
  <pageSetup orientation="portrait" r:id="rId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2025-12-17T16:25:22Z</dcterms:modified>
</cp:coreProperties>
</file>